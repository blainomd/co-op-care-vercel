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 Economics" sheetId="1" state="visible" r:id="rId3"/>
    <sheet name="Year 1-3 Projections" sheetId="2" state="visible" r:id="rId4"/>
    <sheet name="Funding Requirements" sheetId="3" state="visible" r:id="rId5"/>
    <sheet name="Sensitivity Analysis" sheetId="4" state="visible" r:id="rId6"/>
    <sheet name="Key Assump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<sst xmlns="http://schemas.openxmlformats.org/spreadsheetml/2006/main" count="130" uniqueCount="124">
  <si>
    <t xml:space="preserve">Metric</t>
  </si>
  <si>
    <t xml:space="preserve">Value</t>
  </si>
  <si>
    <t xml:space="preserve">Caregiver Wage (hourly)</t>
  </si>
  <si>
    <t xml:space="preserve">Hours per week (per caregiver)</t>
  </si>
  <si>
    <t xml:space="preserve">Weekly caregiver cost</t>
  </si>
  <si>
    <t xml:space="preserve">Monthly caregiver cost (4.33 wks)</t>
  </si>
  <si>
    <t xml:space="preserve">Employer costs (30%)</t>
  </si>
  <si>
    <t xml:space="preserve">Total monthly cost per caregiver</t>
  </si>
  <si>
    <t xml:space="preserve">Families served per caregiver</t>
  </si>
  <si>
    <t xml:space="preserve">Caregiver cost allocated per client</t>
  </si>
  <si>
    <t xml:space="preserve">Average client hours per week</t>
  </si>
  <si>
    <t xml:space="preserve">Hourly rate to families</t>
  </si>
  <si>
    <t xml:space="preserve">Weekly revenue per client</t>
  </si>
  <si>
    <t xml:space="preserve">Monthly revenue per client (4.33 wks)</t>
  </si>
  <si>
    <t xml:space="preserve">Overhead cost per client (monthly)</t>
  </si>
  <si>
    <t xml:space="preserve">Contribution margin per client</t>
  </si>
  <si>
    <t xml:space="preserve">Margin percentage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</si>
  <si>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</si>
  <si>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</si>
  <si>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</si>
  <si>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</si>
  <si>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</si>
  <si>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</si>
  <si>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</si>
  <si>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</si>
  <si>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</si>
  <si>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</si>
  <si>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</si>
  <si>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</si>
  <si>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Year 2</t>
  </si>
  <si>
    <t xml:space="preserve">Year 3</t>
  </si>
  <si>
    <t xml:space="preserve">Client Count</t>
  </si>
  <si>
    <t xml:space="preserve">New Clients</t>
  </si>
  <si>
    <t xml:space="preserve">Monthly Churn Rate</t>
  </si>
  <si>
    <t xml:space="preserve">Caregiver Count</t>
  </si>
  <si>
    <t xml:space="preserve">Family Revenue</t>
  </si>
  <si>
    <t xml:space="preserve">Employer Partnership Revenue</t>
  </si>
  <si>
    <t xml:space="preserve">Total Revenue</t>
  </si>
  <si>
    <t xml:space="preserve">Caregiver Wages + Benefits</t>
  </si>
  <si>
    <t xml:space="preserve">Operations &amp; Administration</t>
  </si>
  <si>
    <t xml:space="preserve">Marketing</t>
  </si>
  <si>
    <t xml:space="preserve">Insurance &amp; Legal</t>
  </si>
  <si>
    <t xml:space="preserve">Overhead</t>
  </si>
  <si>
    <t xml:space="preserve">Total Expenses</t>
  </si>
  <si>
    <t xml:space="preserve">Net Income</t>
  </si>
  <si>
    <t xml:space="preserve">Cumulative Cash (from $200K seed)</t>
  </si>
  <si>
    <t xml:space="preserve">Category</t>
  </si>
  <si>
    <t xml:space="preserve">Amount</t>
  </si>
  <si>
    <t xml:space="preserve">Class B Licensing &amp; Compliance</t>
  </si>
  <si>
    <t xml:space="preserve">Founding Caregiver Recruitment (5 people)</t>
  </si>
  <si>
    <t xml:space="preserve">Technology (Scheduling, Matching, Payroll)</t>
  </si>
  <si>
    <t xml:space="preserve">6-Month Operating Runway</t>
  </si>
  <si>
    <t xml:space="preserve">Marketing &amp; Brand Launch</t>
  </si>
  <si>
    <t xml:space="preserve">Legal (Cooperative Formation)</t>
  </si>
  <si>
    <t xml:space="preserve">Working Capital</t>
  </si>
  <si>
    <t xml:space="preserve">Total Seed Requirement</t>
  </si>
  <si>
    <t xml:space="preserve">Grant &amp; Subsidy Pipeline</t>
  </si>
  <si>
    <t xml:space="preserve">CMS ACCESS (Year 2+)</t>
  </si>
  <si>
    <t xml:space="preserve">$500K–$2M</t>
  </si>
  <si>
    <t xml:space="preserve">MAHA ELEVATE (2026 cohort)</t>
  </si>
  <si>
    <t xml:space="preserve">$3.3M pool</t>
  </si>
  <si>
    <t xml:space="preserve">Colorado OEDIT Competitive Grant</t>
  </si>
  <si>
    <t xml:space="preserve">Variable</t>
  </si>
  <si>
    <t xml:space="preserve">USDA Cooperative Development</t>
  </si>
  <si>
    <t xml:space="preserve">To be determined</t>
  </si>
  <si>
    <t xml:space="preserve">Colorado Angel Tax Credit (25–35%)</t>
  </si>
  <si>
    <t xml:space="preserve">On equity fundraising</t>
  </si>
  <si>
    <t xml:space="preserve">Conservative</t>
  </si>
  <si>
    <t xml:space="preserve">Base Case</t>
  </si>
  <si>
    <t xml:space="preserve">Aggressive</t>
  </si>
  <si>
    <t xml:space="preserve">Impact</t>
  </si>
  <si>
    <t xml:space="preserve">Caregiver Wage ($/hr)</t>
  </si>
  <si>
    <t xml:space="preserve">$22/hr</t>
  </si>
  <si>
    <t xml:space="preserve">$24/hr</t>
  </si>
  <si>
    <t xml:space="preserve">$27/hr</t>
  </si>
  <si>
    <t xml:space="preserve">Margin impact</t>
  </si>
  <si>
    <t xml:space="preserve">Client Price ($/hr)</t>
  </si>
  <si>
    <t xml:space="preserve">$25/hr</t>
  </si>
  <si>
    <t xml:space="preserve">$29/hr</t>
  </si>
  <si>
    <t xml:space="preserve">Revenue impact</t>
  </si>
  <si>
    <t xml:space="preserve">6%</t>
  </si>
  <si>
    <t xml:space="preserve">8%</t>
  </si>
  <si>
    <t xml:space="preserve">12%</t>
  </si>
  <si>
    <t xml:space="preserve">Client retention</t>
  </si>
  <si>
    <t xml:space="preserve">Caregiver Turnover</t>
  </si>
  <si>
    <t xml:space="preserve">10%</t>
  </si>
  <si>
    <t xml:space="preserve">15%</t>
  </si>
  <si>
    <t xml:space="preserve">25%</t>
  </si>
  <si>
    <t xml:space="preserve">Recruitment cost</t>
  </si>
  <si>
    <t xml:space="preserve">Avg Hours/wk per Client</t>
  </si>
  <si>
    <t xml:space="preserve">12 hrs</t>
  </si>
  <si>
    <t xml:space="preserve">15 hrs</t>
  </si>
  <si>
    <t xml:space="preserve">20 hrs</t>
  </si>
  <si>
    <t xml:space="preserve">Revenue per client</t>
  </si>
  <si>
    <t xml:space="preserve">Assumption</t>
  </si>
  <si>
    <t xml:space="preserve">Business Model</t>
  </si>
  <si>
    <t xml:space="preserve">Worker-owned cooperative, companion care (NOT medical care)</t>
  </si>
  <si>
    <t xml:space="preserve">Licensing</t>
  </si>
  <si>
    <t xml:space="preserve">Class B (personal care, no clinical tasks)</t>
  </si>
  <si>
    <t xml:space="preserve">Initial Market</t>
  </si>
  <si>
    <t xml:space="preserve">Boulder County, Colorado</t>
  </si>
  <si>
    <t xml:space="preserve">Service Area</t>
  </si>
  <si>
    <t xml:space="preserve">Radius 10 miles from Boulder</t>
  </si>
  <si>
    <t xml:space="preserve">Caregiver Wage Range</t>
  </si>
  <si>
    <t xml:space="preserve">$24–28/hr + equity + benefits</t>
  </si>
  <si>
    <t xml:space="preserve">Average Client Commitment</t>
  </si>
  <si>
    <t xml:space="preserve">15 hrs/week (ranging 5–40 hrs/wk)</t>
  </si>
  <si>
    <t xml:space="preserve">Client Pricing</t>
  </si>
  <si>
    <t xml:space="preserve">$27/hr (HSA-eligible)</t>
  </si>
  <si>
    <t xml:space="preserve">Families per Caregiver</t>
  </si>
  <si>
    <t xml:space="preserve">3–4 concurrent clients</t>
  </si>
  <si>
    <t xml:space="preserve">Monthly Churn (Families)</t>
  </si>
  <si>
    <t xml:space="preserve">8% (industry avg 15–20%, coop advantage)</t>
  </si>
  <si>
    <t xml:space="preserve">15% annual (industry avg 77%)</t>
  </si>
  <si>
    <t xml:space="preserve">Gross Margin Target (Year 3)</t>
  </si>
  <si>
    <t xml:space="preserve">25–30% operational margin</t>
  </si>
  <si>
    <t xml:space="preserve">Break-Even Timeline</t>
  </si>
  <si>
    <t xml:space="preserve">Month 18–22 (end of Year 2)</t>
  </si>
  <si>
    <t xml:space="preserve">Seed Capital Required</t>
  </si>
  <si>
    <t xml:space="preserve">$150K–$250K</t>
  </si>
  <si>
    <t xml:space="preserve">Growth Assumption (Year 2)</t>
  </si>
  <si>
    <t xml:space="preserve">Parallel health system partnerships (not BCH-only)</t>
  </si>
  <si>
    <t xml:space="preserve">Technology Stack</t>
  </si>
  <si>
    <t xml:space="preserve">Matching algorithm, scheduling app, payroll integration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</si>
</sst>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.0"/>
    <numFmt numFmtId="167" formatCode="0.0%"/>
    <numFmt numFmtId="168" formatCode="0"/>
    <numFmt numFmtId="169" formatCode="\$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A6B5A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6B5A"/>
        <bgColor rgb="FF008080"/>
      </patternFill>
    </fill>
    <fill>
      <patternFill patternType="solid">
        <fgColor rgb="FFF5F5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0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6B5A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n">
        <v>24</v>
      </c>
    </row>
    <row r="3" customFormat="false" ht="15" hidden="false" customHeight="false" outlineLevel="0" collapsed="false">
      <c r="A3" s="0" t="s">
        <v>3</v>
      </c>
      <c r="B3" s="4" t="n">
        <v>30</v>
      </c>
    </row>
    <row r="4" customFormat="false" ht="15" hidden="false" customHeight="false" outlineLevel="0" collapsed="false">
      <c r="A4" s="2" t="s">
        <v>4</v>
      </c>
      <c r="B4" s="3" t="n">
        <f aca="false">B2*B3</f>
        <v>720</v>
      </c>
    </row>
    <row r="5" customFormat="false" ht="15" hidden="false" customHeight="false" outlineLevel="0" collapsed="false">
      <c r="A5" s="0" t="s">
        <v>5</v>
      </c>
      <c r="B5" s="5" t="n">
        <f aca="false">B4*4.33</f>
        <v>3117.6</v>
      </c>
    </row>
    <row r="6" customFormat="false" ht="15" hidden="false" customHeight="false" outlineLevel="0" collapsed="false">
      <c r="A6" s="2" t="s">
        <v>6</v>
      </c>
      <c r="B6" s="3" t="n">
        <f aca="false">B5*0.3</f>
        <v>935.28</v>
      </c>
    </row>
    <row r="7" customFormat="false" ht="15" hidden="false" customHeight="false" outlineLevel="0" collapsed="false">
      <c r="A7" s="0" t="s">
        <v>7</v>
      </c>
      <c r="B7" s="5" t="n">
        <f aca="false">B5+B6</f>
        <v>4052.88</v>
      </c>
    </row>
    <row r="8" customFormat="false" ht="15" hidden="false" customHeight="false" outlineLevel="0" collapsed="false">
      <c r="A8" s="2" t="s">
        <v>8</v>
      </c>
      <c r="B8" s="6" t="n">
        <v>3.5</v>
      </c>
    </row>
    <row r="9" customFormat="false" ht="15" hidden="false" customHeight="false" outlineLevel="0" collapsed="false">
      <c r="A9" s="0" t="s">
        <v>9</v>
      </c>
      <c r="B9" s="5" t="n">
        <f aca="false">B7/B8</f>
        <v>1157.96571428571</v>
      </c>
    </row>
    <row r="10" customFormat="false" ht="15" hidden="false" customHeight="false" outlineLevel="0" collapsed="false">
      <c r="A10" s="2" t="s">
        <v>10</v>
      </c>
      <c r="B10" s="6" t="n">
        <v>15</v>
      </c>
    </row>
    <row r="11" customFormat="false" ht="15" hidden="false" customHeight="false" outlineLevel="0" collapsed="false">
      <c r="A11" s="0" t="s">
        <v>11</v>
      </c>
      <c r="B11" s="5" t="n">
        <v>27</v>
      </c>
    </row>
    <row r="12" customFormat="false" ht="15" hidden="false" customHeight="false" outlineLevel="0" collapsed="false">
      <c r="A12" s="2" t="s">
        <v>12</v>
      </c>
      <c r="B12" s="3" t="n">
        <f aca="false">B9*B10</f>
        <v>17369.4857142857</v>
      </c>
    </row>
    <row r="13" customFormat="false" ht="15" hidden="false" customHeight="false" outlineLevel="0" collapsed="false">
      <c r="A13" s="0" t="s">
        <v>13</v>
      </c>
      <c r="B13" s="5" t="n">
        <f aca="false">B11*4.33</f>
        <v>116.91</v>
      </c>
    </row>
    <row r="14" customFormat="false" ht="15" hidden="false" customHeight="false" outlineLevel="0" collapsed="false">
      <c r="A14" s="2" t="s">
        <v>14</v>
      </c>
      <c r="B14" s="3" t="n">
        <v>250</v>
      </c>
    </row>
    <row r="15" customFormat="false" ht="15" hidden="false" customHeight="false" outlineLevel="0" collapsed="false">
      <c r="A15" s="0" t="s">
        <v>15</v>
      </c>
      <c r="B15" s="5" t="n">
        <f aca="false">B12-B8-B13</f>
        <v>17249.0757142857</v>
      </c>
    </row>
    <row r="16" customFormat="false" ht="15" hidden="false" customHeight="false" outlineLevel="0" collapsed="false">
      <c r="A16" s="2" t="s">
        <v>16</v>
      </c>
      <c r="B16" s="7" t="n">
        <f aca="false">B14/B12</f>
        <v>0.0143930571182303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15" min="2" style="0" width="12"/>
  </cols>
  <sheetData>
    <row r="1" customFormat="false" ht="15" hidden="false" customHeight="false" outlineLevel="0" collapsed="false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</row>
    <row r="2" customFormat="false" ht="15" hidden="false" customHeight="false" outlineLevel="0" collapsed="false">
      <c r="A2" s="2" t="s">
        <v>31</v>
      </c>
      <c r="B2" s="8" t="n">
        <v>0</v>
      </c>
      <c r="C2" s="9" t="n">
        <v>0</v>
      </c>
      <c r="D2" s="8" t="n">
        <v>0</v>
      </c>
      <c r="E2" s="9" t="n">
        <v>5</v>
      </c>
      <c r="F2" s="8" t="n">
        <v>10</v>
      </c>
      <c r="G2" s="9" t="n">
        <v>15</v>
      </c>
      <c r="H2" s="8" t="n">
        <v>20</v>
      </c>
      <c r="I2" s="9" t="n">
        <v>22</v>
      </c>
      <c r="J2" s="8" t="n">
        <v>24</v>
      </c>
      <c r="K2" s="9" t="n">
        <v>26</v>
      </c>
      <c r="L2" s="8" t="n">
        <v>28</v>
      </c>
      <c r="M2" s="9" t="n">
        <v>30</v>
      </c>
      <c r="N2" s="10" t="n">
        <v>500000</v>
      </c>
      <c r="O2" s="10" t="n">
        <v>1200000</v>
      </c>
    </row>
    <row r="3" customFormat="false" ht="15" hidden="false" customHeight="false" outlineLevel="0" collapsed="false">
      <c r="A3" s="0" t="s">
        <v>32</v>
      </c>
      <c r="B3" s="8" t="n">
        <v>0</v>
      </c>
      <c r="C3" s="9" t="n">
        <v>0</v>
      </c>
      <c r="D3" s="8" t="n">
        <v>0</v>
      </c>
      <c r="E3" s="9" t="n">
        <v>5</v>
      </c>
      <c r="F3" s="8" t="n">
        <v>5</v>
      </c>
      <c r="G3" s="9" t="n">
        <v>5</v>
      </c>
      <c r="H3" s="8" t="n">
        <v>5</v>
      </c>
      <c r="I3" s="9" t="n">
        <v>2</v>
      </c>
      <c r="J3" s="8" t="n">
        <v>2</v>
      </c>
      <c r="K3" s="9" t="n">
        <v>2</v>
      </c>
      <c r="L3" s="8" t="n">
        <v>2</v>
      </c>
      <c r="M3" s="9" t="n">
        <v>2</v>
      </c>
    </row>
    <row r="4" customFormat="false" ht="15" hidden="false" customHeight="false" outlineLevel="0" collapsed="false">
      <c r="A4" s="2" t="s">
        <v>33</v>
      </c>
      <c r="B4" s="7" t="n">
        <v>0</v>
      </c>
      <c r="C4" s="11" t="n">
        <v>0</v>
      </c>
      <c r="D4" s="7" t="n">
        <v>0</v>
      </c>
      <c r="E4" s="11" t="n">
        <v>0.08</v>
      </c>
      <c r="F4" s="7" t="n">
        <v>0.08</v>
      </c>
      <c r="G4" s="11" t="n">
        <v>0.08</v>
      </c>
      <c r="H4" s="7" t="n">
        <v>0.08</v>
      </c>
      <c r="I4" s="11" t="n">
        <v>0.08</v>
      </c>
      <c r="J4" s="7" t="n">
        <v>0.08</v>
      </c>
      <c r="K4" s="11" t="n">
        <v>0.08</v>
      </c>
      <c r="L4" s="7" t="n">
        <v>0.08</v>
      </c>
      <c r="M4" s="11" t="n">
        <v>0.08</v>
      </c>
    </row>
    <row r="5" customFormat="false" ht="15" hidden="false" customHeight="false" outlineLevel="0" collapsed="false">
      <c r="A5" s="0" t="s">
        <v>34</v>
      </c>
      <c r="B5" s="8" t="n">
        <v>0</v>
      </c>
      <c r="C5" s="9" t="n">
        <v>0</v>
      </c>
      <c r="D5" s="8" t="n">
        <v>0</v>
      </c>
      <c r="E5" s="9" t="n">
        <v>2</v>
      </c>
      <c r="F5" s="8" t="n">
        <v>3</v>
      </c>
      <c r="G5" s="9" t="n">
        <v>4</v>
      </c>
      <c r="H5" s="8" t="n">
        <v>5</v>
      </c>
      <c r="I5" s="9" t="n">
        <v>6</v>
      </c>
      <c r="J5" s="8" t="n">
        <v>6</v>
      </c>
      <c r="K5" s="9" t="n">
        <v>7</v>
      </c>
      <c r="L5" s="8" t="n">
        <v>7</v>
      </c>
      <c r="M5" s="9" t="n">
        <v>8</v>
      </c>
    </row>
    <row r="6" customFormat="false" ht="15" hidden="false" customHeight="false" outlineLevel="0" collapsed="false">
      <c r="A6" s="2" t="s">
        <v>35</v>
      </c>
      <c r="B6" s="12" t="n">
        <f aca="false">B2*4*1756</f>
        <v>0</v>
      </c>
      <c r="C6" s="10" t="n">
        <f aca="false">C2*4*1756</f>
        <v>0</v>
      </c>
      <c r="D6" s="12" t="n">
        <f aca="false">D2*4*1756</f>
        <v>0</v>
      </c>
      <c r="E6" s="10" t="n">
        <f aca="false">E2*4*1756</f>
        <v>35120</v>
      </c>
      <c r="F6" s="12" t="n">
        <f aca="false">F2*4*1756</f>
        <v>70240</v>
      </c>
      <c r="G6" s="10" t="n">
        <f aca="false">G2*4*1756</f>
        <v>105360</v>
      </c>
      <c r="H6" s="12" t="n">
        <f aca="false">H2*4*1756</f>
        <v>140480</v>
      </c>
      <c r="I6" s="10" t="n">
        <f aca="false">I2*4*1756</f>
        <v>154528</v>
      </c>
      <c r="J6" s="12" t="n">
        <f aca="false">J2*4*1756</f>
        <v>168576</v>
      </c>
      <c r="K6" s="10" t="n">
        <f aca="false">K2*4*1756</f>
        <v>182624</v>
      </c>
      <c r="L6" s="12" t="n">
        <f aca="false">L2*4*1756</f>
        <v>196672</v>
      </c>
      <c r="M6" s="10" t="n">
        <f aca="false">M2*4*1756</f>
        <v>210720</v>
      </c>
    </row>
    <row r="7" customFormat="false" ht="15" hidden="false" customHeight="false" outlineLevel="0" collapsed="false">
      <c r="A7" s="0" t="s">
        <v>36</v>
      </c>
      <c r="B7" s="12" t="n">
        <v>0</v>
      </c>
      <c r="C7" s="10" t="n">
        <v>0</v>
      </c>
      <c r="D7" s="12" t="n">
        <v>0</v>
      </c>
      <c r="E7" s="10" t="n">
        <v>0</v>
      </c>
      <c r="F7" s="12" t="n">
        <v>0</v>
      </c>
      <c r="G7" s="10" t="n">
        <v>0</v>
      </c>
      <c r="H7" s="12" t="n">
        <v>0</v>
      </c>
      <c r="I7" s="10" t="n">
        <v>0</v>
      </c>
      <c r="J7" s="12" t="n">
        <v>0</v>
      </c>
      <c r="K7" s="10" t="n">
        <v>0</v>
      </c>
      <c r="L7" s="12" t="n">
        <v>0</v>
      </c>
      <c r="M7" s="10" t="n">
        <v>0</v>
      </c>
    </row>
    <row r="8" customFormat="false" ht="15" hidden="false" customHeight="false" outlineLevel="0" collapsed="false">
      <c r="A8" s="2" t="s">
        <v>37</v>
      </c>
      <c r="B8" s="12" t="n">
        <f aca="false">B6+B7</f>
        <v>0</v>
      </c>
      <c r="C8" s="10" t="n">
        <f aca="false">C6+C7</f>
        <v>0</v>
      </c>
      <c r="D8" s="12" t="n">
        <f aca="false">D6+D7</f>
        <v>0</v>
      </c>
      <c r="E8" s="10" t="n">
        <f aca="false">E6+E7</f>
        <v>35120</v>
      </c>
      <c r="F8" s="12" t="n">
        <f aca="false">F6+F7</f>
        <v>70240</v>
      </c>
      <c r="G8" s="10" t="n">
        <f aca="false">G6+G7</f>
        <v>105360</v>
      </c>
      <c r="H8" s="12" t="n">
        <f aca="false">H6+H7</f>
        <v>140480</v>
      </c>
      <c r="I8" s="10" t="n">
        <f aca="false">I6+I7</f>
        <v>154528</v>
      </c>
      <c r="J8" s="12" t="n">
        <f aca="false">J6+J7</f>
        <v>168576</v>
      </c>
      <c r="K8" s="10" t="n">
        <f aca="false">K6+K7</f>
        <v>182624</v>
      </c>
      <c r="L8" s="12" t="n">
        <f aca="false">L6+L7</f>
        <v>196672</v>
      </c>
      <c r="M8" s="10" t="n">
        <f aca="false">M6+M7</f>
        <v>210720</v>
      </c>
    </row>
    <row r="9" customFormat="false" ht="15" hidden="false" customHeight="false" outlineLevel="0" collapsed="false">
      <c r="A9" s="0" t="s">
        <v>38</v>
      </c>
      <c r="B9" s="12" t="n">
        <f aca="false">B5*3900</f>
        <v>0</v>
      </c>
      <c r="C9" s="10" t="n">
        <f aca="false">C5*3900</f>
        <v>0</v>
      </c>
      <c r="D9" s="12" t="n">
        <f aca="false">D5*3900</f>
        <v>0</v>
      </c>
      <c r="E9" s="10" t="n">
        <f aca="false">E5*3900</f>
        <v>7800</v>
      </c>
      <c r="F9" s="12" t="n">
        <f aca="false">F5*3900</f>
        <v>11700</v>
      </c>
      <c r="G9" s="10" t="n">
        <f aca="false">G5*3900</f>
        <v>15600</v>
      </c>
      <c r="H9" s="12" t="n">
        <f aca="false">H5*3900</f>
        <v>19500</v>
      </c>
      <c r="I9" s="10" t="n">
        <f aca="false">I5*3900</f>
        <v>23400</v>
      </c>
      <c r="J9" s="12" t="n">
        <f aca="false">J5*3900</f>
        <v>23400</v>
      </c>
      <c r="K9" s="10" t="n">
        <f aca="false">K5*3900</f>
        <v>27300</v>
      </c>
      <c r="L9" s="12" t="n">
        <f aca="false">L5*3900</f>
        <v>27300</v>
      </c>
      <c r="M9" s="10" t="n">
        <f aca="false">M5*3900</f>
        <v>31200</v>
      </c>
    </row>
    <row r="10" customFormat="false" ht="15" hidden="false" customHeight="false" outlineLevel="0" collapsed="false">
      <c r="A10" s="2" t="s">
        <v>39</v>
      </c>
      <c r="B10" s="12" t="n">
        <v>5000</v>
      </c>
      <c r="C10" s="10" t="n">
        <v>5000</v>
      </c>
      <c r="D10" s="12" t="n">
        <v>5000</v>
      </c>
      <c r="E10" s="10" t="n">
        <v>8000</v>
      </c>
      <c r="F10" s="12" t="n">
        <v>8000</v>
      </c>
      <c r="G10" s="10" t="n">
        <v>8000</v>
      </c>
      <c r="H10" s="12" t="n">
        <v>10000</v>
      </c>
      <c r="I10" s="10" t="n">
        <v>10000</v>
      </c>
      <c r="J10" s="12" t="n">
        <v>10000</v>
      </c>
      <c r="K10" s="10" t="n">
        <v>12000</v>
      </c>
      <c r="L10" s="12" t="n">
        <v>12000</v>
      </c>
      <c r="M10" s="10" t="n">
        <v>12000</v>
      </c>
    </row>
    <row r="11" customFormat="false" ht="15" hidden="false" customHeight="false" outlineLevel="0" collapsed="false">
      <c r="A11" s="0" t="s">
        <v>40</v>
      </c>
      <c r="B11" s="12" t="n">
        <v>3000</v>
      </c>
      <c r="C11" s="10" t="n">
        <v>3000</v>
      </c>
      <c r="D11" s="12" t="n">
        <v>3000</v>
      </c>
      <c r="E11" s="10" t="n">
        <v>4000</v>
      </c>
      <c r="F11" s="12" t="n">
        <v>4000</v>
      </c>
      <c r="G11" s="10" t="n">
        <v>4000</v>
      </c>
      <c r="H11" s="12" t="n">
        <v>3000</v>
      </c>
      <c r="I11" s="10" t="n">
        <v>3000</v>
      </c>
      <c r="J11" s="12" t="n">
        <v>3000</v>
      </c>
      <c r="K11" s="10" t="n">
        <v>2000</v>
      </c>
      <c r="L11" s="12" t="n">
        <v>2000</v>
      </c>
      <c r="M11" s="10" t="n">
        <v>2000</v>
      </c>
    </row>
    <row r="12" customFormat="false" ht="15" hidden="false" customHeight="false" outlineLevel="0" collapsed="false">
      <c r="A12" s="2" t="s">
        <v>41</v>
      </c>
      <c r="B12" s="12" t="n">
        <v>2000</v>
      </c>
      <c r="C12" s="10" t="n">
        <v>2000</v>
      </c>
      <c r="D12" s="12" t="n">
        <v>2000</v>
      </c>
      <c r="E12" s="10" t="n">
        <v>2000</v>
      </c>
      <c r="F12" s="12" t="n">
        <v>2000</v>
      </c>
      <c r="G12" s="10" t="n">
        <v>2000</v>
      </c>
      <c r="H12" s="12" t="n">
        <v>2000</v>
      </c>
      <c r="I12" s="10" t="n">
        <v>2000</v>
      </c>
      <c r="J12" s="12" t="n">
        <v>2000</v>
      </c>
      <c r="K12" s="10" t="n">
        <v>2000</v>
      </c>
      <c r="L12" s="12" t="n">
        <v>2000</v>
      </c>
      <c r="M12" s="10" t="n">
        <v>2000</v>
      </c>
    </row>
    <row r="13" customFormat="false" ht="15" hidden="false" customHeight="false" outlineLevel="0" collapsed="false">
      <c r="A13" s="0" t="s">
        <v>42</v>
      </c>
      <c r="B13" s="12" t="n">
        <v>5000</v>
      </c>
      <c r="C13" s="10" t="n">
        <v>5000</v>
      </c>
      <c r="D13" s="12" t="n">
        <v>5000</v>
      </c>
      <c r="E13" s="10" t="n">
        <v>5000</v>
      </c>
      <c r="F13" s="12" t="n">
        <v>5000</v>
      </c>
      <c r="G13" s="10" t="n">
        <v>5000</v>
      </c>
      <c r="H13" s="12" t="n">
        <v>5000</v>
      </c>
      <c r="I13" s="10" t="n">
        <v>5000</v>
      </c>
      <c r="J13" s="12" t="n">
        <v>5000</v>
      </c>
      <c r="K13" s="10" t="n">
        <v>5000</v>
      </c>
      <c r="L13" s="12" t="n">
        <v>5000</v>
      </c>
      <c r="M13" s="10" t="n">
        <v>5000</v>
      </c>
    </row>
    <row r="14" customFormat="false" ht="15" hidden="false" customHeight="false" outlineLevel="0" collapsed="false">
      <c r="A14" s="2" t="s">
        <v>43</v>
      </c>
      <c r="B14" s="12" t="n">
        <f aca="false">B9+B10+B11+B12+B13</f>
        <v>15000</v>
      </c>
      <c r="C14" s="10" t="n">
        <f aca="false">C9+C10+C11+C12+C13</f>
        <v>15000</v>
      </c>
      <c r="D14" s="12" t="n">
        <f aca="false">D9+D10+D11+D12+D13</f>
        <v>15000</v>
      </c>
      <c r="E14" s="10" t="n">
        <f aca="false">E9+E10+E11+E12+E13</f>
        <v>26800</v>
      </c>
      <c r="F14" s="12" t="n">
        <f aca="false">F9+F10+F11+F12+F13</f>
        <v>30700</v>
      </c>
      <c r="G14" s="10" t="n">
        <f aca="false">G9+G10+G11+G12+G13</f>
        <v>34600</v>
      </c>
      <c r="H14" s="12" t="n">
        <f aca="false">H9+H10+H11+H12+H13</f>
        <v>39500</v>
      </c>
      <c r="I14" s="10" t="n">
        <f aca="false">I9+I10+I11+I12+I13</f>
        <v>43400</v>
      </c>
      <c r="J14" s="12" t="n">
        <f aca="false">J9+J10+J11+J12+J13</f>
        <v>43400</v>
      </c>
      <c r="K14" s="10" t="n">
        <f aca="false">K9+K10+K11+K12+K13</f>
        <v>48300</v>
      </c>
      <c r="L14" s="12" t="n">
        <f aca="false">L9+L10+L11+L12+L13</f>
        <v>48300</v>
      </c>
      <c r="M14" s="10" t="n">
        <f aca="false">M9+M10+M11+M12+M13</f>
        <v>52200</v>
      </c>
    </row>
    <row r="15" customFormat="false" ht="15" hidden="false" customHeight="false" outlineLevel="0" collapsed="false">
      <c r="A15" s="0" t="s">
        <v>44</v>
      </c>
      <c r="B15" s="12" t="n">
        <f aca="false">B8-B14</f>
        <v>-15000</v>
      </c>
      <c r="C15" s="10" t="n">
        <f aca="false">C8-C14</f>
        <v>-15000</v>
      </c>
      <c r="D15" s="12" t="n">
        <f aca="false">D8-D14</f>
        <v>-15000</v>
      </c>
      <c r="E15" s="10" t="n">
        <f aca="false">E8-E14</f>
        <v>8320</v>
      </c>
      <c r="F15" s="12" t="n">
        <f aca="false">F8-F14</f>
        <v>39540</v>
      </c>
      <c r="G15" s="10" t="n">
        <f aca="false">G8-G14</f>
        <v>70760</v>
      </c>
      <c r="H15" s="12" t="n">
        <f aca="false">H8-H14</f>
        <v>100980</v>
      </c>
      <c r="I15" s="10" t="n">
        <f aca="false">I8-I14</f>
        <v>111128</v>
      </c>
      <c r="J15" s="12" t="n">
        <f aca="false">J8-J14</f>
        <v>125176</v>
      </c>
      <c r="K15" s="10" t="n">
        <f aca="false">K8-K14</f>
        <v>134324</v>
      </c>
      <c r="L15" s="12" t="n">
        <f aca="false">L8-L14</f>
        <v>148372</v>
      </c>
      <c r="M15" s="10" t="n">
        <f aca="false">M8-M14</f>
        <v>158520</v>
      </c>
    </row>
    <row r="16" customFormat="false" ht="15" hidden="false" customHeight="false" outlineLevel="0" collapsed="false">
      <c r="A16" s="2" t="s">
        <v>45</v>
      </c>
    </row>
    <row r="17" customFormat="false" ht="15" hidden="false" customHeight="false" outlineLevel="0" collapsed="false">
      <c r="B17" s="12" t="n">
        <v>200000</v>
      </c>
      <c r="C17" s="10" t="n">
        <f aca="false">B17+C15</f>
        <v>185000</v>
      </c>
      <c r="D17" s="12" t="n">
        <f aca="false">C17+D15</f>
        <v>170000</v>
      </c>
      <c r="E17" s="10" t="n">
        <f aca="false">D17+E15</f>
        <v>178320</v>
      </c>
      <c r="F17" s="12" t="n">
        <f aca="false">E17+F15</f>
        <v>217860</v>
      </c>
      <c r="G17" s="10" t="n">
        <f aca="false">F17+G15</f>
        <v>288620</v>
      </c>
      <c r="H17" s="12" t="n">
        <f aca="false">G17+H15</f>
        <v>389600</v>
      </c>
      <c r="I17" s="10" t="n">
        <f aca="false">H17+I15</f>
        <v>500728</v>
      </c>
      <c r="J17" s="12" t="n">
        <f aca="false">I17+J15</f>
        <v>625904</v>
      </c>
      <c r="K17" s="10" t="n">
        <f aca="false">J17+K15</f>
        <v>760228</v>
      </c>
      <c r="L17" s="12" t="n">
        <f aca="false">K17+L15</f>
        <v>908600</v>
      </c>
      <c r="M17" s="10" t="n">
        <f aca="false">L17+M15</f>
        <v>1067120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1" t="s">
        <v>46</v>
      </c>
      <c r="B1" s="1" t="s">
        <v>47</v>
      </c>
    </row>
    <row r="2" customFormat="false" ht="15" hidden="false" customHeight="false" outlineLevel="0" collapsed="false">
      <c r="A2" s="2" t="s">
        <v>48</v>
      </c>
      <c r="B2" s="12" t="n">
        <v>15000</v>
      </c>
    </row>
    <row r="3" customFormat="false" ht="15" hidden="false" customHeight="false" outlineLevel="0" collapsed="false">
      <c r="A3" s="0" t="s">
        <v>49</v>
      </c>
      <c r="B3" s="10" t="n">
        <v>40000</v>
      </c>
    </row>
    <row r="4" customFormat="false" ht="15" hidden="false" customHeight="false" outlineLevel="0" collapsed="false">
      <c r="A4" s="2" t="s">
        <v>50</v>
      </c>
      <c r="B4" s="12" t="n">
        <v>50000</v>
      </c>
    </row>
    <row r="5" customFormat="false" ht="15" hidden="false" customHeight="false" outlineLevel="0" collapsed="false">
      <c r="A5" s="0" t="s">
        <v>51</v>
      </c>
      <c r="B5" s="10" t="n">
        <v>60000</v>
      </c>
    </row>
    <row r="6" customFormat="false" ht="15" hidden="false" customHeight="false" outlineLevel="0" collapsed="false">
      <c r="A6" s="2" t="s">
        <v>52</v>
      </c>
      <c r="B6" s="12" t="n">
        <v>25000</v>
      </c>
    </row>
    <row r="7" customFormat="false" ht="15" hidden="false" customHeight="false" outlineLevel="0" collapsed="false">
      <c r="A7" s="0" t="s">
        <v>53</v>
      </c>
      <c r="B7" s="10" t="n">
        <v>25000</v>
      </c>
    </row>
    <row r="8" customFormat="false" ht="15" hidden="false" customHeight="false" outlineLevel="0" collapsed="false">
      <c r="A8" s="2" t="s">
        <v>54</v>
      </c>
      <c r="B8" s="12" t="n">
        <v>35000</v>
      </c>
    </row>
    <row r="9" customFormat="false" ht="15" hidden="false" customHeight="false" outlineLevel="0" collapsed="false">
      <c r="A9" s="13" t="s">
        <v>55</v>
      </c>
      <c r="B9" s="14" t="n">
        <f aca="false">SUM(B2:B8)</f>
        <v>250000</v>
      </c>
    </row>
    <row r="11" customFormat="false" ht="15" hidden="false" customHeight="false" outlineLevel="0" collapsed="false">
      <c r="A11" s="15" t="s">
        <v>56</v>
      </c>
    </row>
    <row r="12" customFormat="false" ht="15" hidden="false" customHeight="false" outlineLevel="0" collapsed="false">
      <c r="A12" s="16" t="s">
        <v>57</v>
      </c>
      <c r="B12" s="2" t="s">
        <v>58</v>
      </c>
    </row>
    <row r="13" customFormat="false" ht="15" hidden="false" customHeight="false" outlineLevel="0" collapsed="false">
      <c r="A13" s="17" t="s">
        <v>59</v>
      </c>
      <c r="B13" s="0" t="s">
        <v>60</v>
      </c>
    </row>
    <row r="14" customFormat="false" ht="15" hidden="false" customHeight="false" outlineLevel="0" collapsed="false">
      <c r="A14" s="16" t="s">
        <v>61</v>
      </c>
      <c r="B14" s="2" t="s">
        <v>62</v>
      </c>
    </row>
    <row r="15" customFormat="false" ht="15" hidden="false" customHeight="false" outlineLevel="0" collapsed="false">
      <c r="A15" s="17" t="s">
        <v>63</v>
      </c>
      <c r="B15" s="0" t="s">
        <v>64</v>
      </c>
    </row>
    <row r="16" customFormat="false" ht="15" hidden="false" customHeight="false" outlineLevel="0" collapsed="false">
      <c r="A16" s="16" t="s">
        <v>65</v>
      </c>
      <c r="B16" s="2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5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62</v>
      </c>
      <c r="B1" s="1" t="s">
        <v>67</v>
      </c>
      <c r="C1" s="1" t="s">
        <v>68</v>
      </c>
      <c r="D1" s="1" t="s">
        <v>69</v>
      </c>
      <c r="E1" s="1" t="s">
        <v>70</v>
      </c>
    </row>
    <row r="2" customFormat="false" ht="15" hidden="false" customHeight="false" outlineLevel="0" collapsed="false">
      <c r="A2" s="18" t="s">
        <v>71</v>
      </c>
      <c r="B2" s="18" t="s">
        <v>72</v>
      </c>
      <c r="C2" s="18" t="s">
        <v>73</v>
      </c>
      <c r="D2" s="18" t="s">
        <v>74</v>
      </c>
      <c r="E2" s="18" t="s">
        <v>75</v>
      </c>
    </row>
    <row r="3" customFormat="false" ht="15" hidden="false" customHeight="false" outlineLevel="0" collapsed="false">
      <c r="A3" s="19" t="s">
        <v>76</v>
      </c>
      <c r="B3" s="19" t="s">
        <v>77</v>
      </c>
      <c r="C3" s="19" t="s">
        <v>74</v>
      </c>
      <c r="D3" s="19" t="s">
        <v>78</v>
      </c>
      <c r="E3" s="19" t="s">
        <v>79</v>
      </c>
    </row>
    <row r="4" customFormat="false" ht="15" hidden="false" customHeight="false" outlineLevel="0" collapsed="false">
      <c r="A4" s="18" t="s">
        <v>33</v>
      </c>
      <c r="B4" s="18" t="s">
        <v>80</v>
      </c>
      <c r="C4" s="18" t="s">
        <v>81</v>
      </c>
      <c r="D4" s="18" t="s">
        <v>82</v>
      </c>
      <c r="E4" s="18" t="s">
        <v>83</v>
      </c>
    </row>
    <row r="5" customFormat="false" ht="15" hidden="false" customHeight="false" outlineLevel="0" collapsed="false">
      <c r="A5" s="19" t="s">
        <v>84</v>
      </c>
      <c r="B5" s="19" t="s">
        <v>85</v>
      </c>
      <c r="C5" s="19" t="s">
        <v>86</v>
      </c>
      <c r="D5" s="19" t="s">
        <v>87</v>
      </c>
      <c r="E5" s="19" t="s">
        <v>88</v>
      </c>
    </row>
    <row r="6" customFormat="false" ht="15" hidden="false" customHeight="false" outlineLevel="0" collapsed="false">
      <c r="A6" s="18" t="s">
        <v>89</v>
      </c>
      <c r="B6" s="18" t="s">
        <v>90</v>
      </c>
      <c r="C6" s="18" t="s">
        <v>91</v>
      </c>
      <c r="D6" s="18" t="s">
        <v>92</v>
      </c>
      <c r="E6" s="18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0"/>
  </cols>
  <sheetData>
    <row r="1" customFormat="false" ht="24.75" hidden="false" customHeight="true" outlineLevel="0" collapsed="false">
      <c r="A1" s="1" t="s">
        <v>94</v>
      </c>
      <c r="B1" s="1" t="s">
        <v>1</v>
      </c>
    </row>
    <row r="2" customFormat="false" ht="30" hidden="false" customHeight="true" outlineLevel="0" collapsed="false">
      <c r="A2" s="2" t="s">
        <v>95</v>
      </c>
      <c r="B2" s="18" t="s">
        <v>96</v>
      </c>
    </row>
    <row r="3" customFormat="false" ht="30" hidden="false" customHeight="true" outlineLevel="0" collapsed="false">
      <c r="A3" s="0" t="s">
        <v>97</v>
      </c>
      <c r="B3" s="19" t="s">
        <v>98</v>
      </c>
    </row>
    <row r="4" customFormat="false" ht="30" hidden="false" customHeight="true" outlineLevel="0" collapsed="false">
      <c r="A4" s="2" t="s">
        <v>99</v>
      </c>
      <c r="B4" s="18" t="s">
        <v>100</v>
      </c>
    </row>
    <row r="5" customFormat="false" ht="30" hidden="false" customHeight="true" outlineLevel="0" collapsed="false">
      <c r="A5" s="0" t="s">
        <v>101</v>
      </c>
      <c r="B5" s="19" t="s">
        <v>102</v>
      </c>
    </row>
    <row r="6" customFormat="false" ht="30" hidden="false" customHeight="true" outlineLevel="0" collapsed="false">
      <c r="A6" s="2" t="s">
        <v>103</v>
      </c>
      <c r="B6" s="18" t="s">
        <v>104</v>
      </c>
    </row>
    <row r="7" customFormat="false" ht="30" hidden="false" customHeight="true" outlineLevel="0" collapsed="false">
      <c r="A7" s="0" t="s">
        <v>105</v>
      </c>
      <c r="B7" s="19" t="s">
        <v>106</v>
      </c>
    </row>
    <row r="8" customFormat="false" ht="30" hidden="false" customHeight="true" outlineLevel="0" collapsed="false">
      <c r="A8" s="2" t="s">
        <v>107</v>
      </c>
      <c r="B8" s="18" t="s">
        <v>108</v>
      </c>
    </row>
    <row r="9" customFormat="false" ht="30" hidden="false" customHeight="true" outlineLevel="0" collapsed="false">
      <c r="A9" s="0" t="s">
        <v>109</v>
      </c>
      <c r="B9" s="19" t="s">
        <v>110</v>
      </c>
    </row>
    <row r="10" customFormat="false" ht="30" hidden="false" customHeight="true" outlineLevel="0" collapsed="false">
      <c r="A10" s="2" t="s">
        <v>111</v>
      </c>
      <c r="B10" s="18" t="s">
        <v>112</v>
      </c>
    </row>
    <row r="11" customFormat="false" ht="30" hidden="false" customHeight="true" outlineLevel="0" collapsed="false">
      <c r="A11" s="0" t="s">
        <v>84</v>
      </c>
      <c r="B11" s="19" t="s">
        <v>113</v>
      </c>
    </row>
    <row r="12" customFormat="false" ht="30" hidden="false" customHeight="true" outlineLevel="0" collapsed="false">
      <c r="A12" s="2" t="s">
        <v>114</v>
      </c>
      <c r="B12" s="18" t="s">
        <v>115</v>
      </c>
    </row>
    <row r="13" customFormat="false" ht="30" hidden="false" customHeight="true" outlineLevel="0" collapsed="false">
      <c r="A13" s="0" t="s">
        <v>116</v>
      </c>
      <c r="B13" s="19" t="s">
        <v>117</v>
      </c>
    </row>
    <row r="14" customFormat="false" ht="30" hidden="false" customHeight="true" outlineLevel="0" collapsed="false">
      <c r="A14" s="2" t="s">
        <v>118</v>
      </c>
      <c r="B14" s="18" t="s">
        <v>119</v>
      </c>
    </row>
    <row r="15" customFormat="false" ht="30" hidden="false" customHeight="true" outlineLevel="0" collapsed="false">
      <c r="A15" s="0" t="s">
        <v>120</v>
      </c>
      <c r="B15" s="19" t="s">
        <v>121</v>
      </c>
    </row>
    <row r="16" customFormat="false" ht="30" hidden="false" customHeight="true" outlineLevel="0" collapsed="false">
      <c r="A16" s="2" t="s">
        <v>122</v>
      </c>
      <c r="B16" s="18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2026-02-18T19:25:57Z</dcterms:created>
  <dc:creator>openpyxl</dc:creator>
  <dc:description/>
  <dc:language>en-US</dc:language>
  <cp:lastModifiedBy/>
  <dcterms:modified xsi:type="dcterms:W3CDTF">2026-02-18T19:25:57Z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